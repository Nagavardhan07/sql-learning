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vardhan\OneDrive\Desktop\SQL COURSE\ALEX THE ANALYST - 2\EXCEL\"/>
    </mc:Choice>
  </mc:AlternateContent>
  <xr:revisionPtr revIDLastSave="0" documentId="13_ncr:1_{D454A159-DBEA-4835-B49A-DDE2C509A7D1}" xr6:coauthVersionLast="47" xr6:coauthVersionMax="47" xr10:uidLastSave="{00000000-0000-0000-0000-000000000000}"/>
  <bookViews>
    <workbookView xWindow="-108" yWindow="-108" windowWidth="23256" windowHeight="13176" firstSheet="3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3" l="1"/>
  <c r="K2" i="13"/>
  <c r="K3" i="13"/>
  <c r="K4" i="13"/>
  <c r="K5" i="13"/>
  <c r="K6" i="13"/>
  <c r="K7" i="13"/>
  <c r="K8" i="13"/>
  <c r="K9" i="13"/>
  <c r="K10" i="13"/>
  <c r="J3" i="13"/>
  <c r="J4" i="13"/>
  <c r="J5" i="13"/>
  <c r="J6" i="13"/>
  <c r="J7" i="13"/>
  <c r="J8" i="13"/>
  <c r="J9" i="13"/>
  <c r="J10" i="13"/>
  <c r="J2" i="5"/>
  <c r="J3" i="5"/>
  <c r="J4" i="5"/>
  <c r="J5" i="5"/>
  <c r="J6" i="5"/>
  <c r="J7" i="5"/>
  <c r="J8" i="5"/>
  <c r="J9" i="5"/>
  <c r="J10" i="5"/>
  <c r="L3" i="5"/>
  <c r="L4" i="5"/>
  <c r="L5" i="5"/>
  <c r="L6" i="5"/>
  <c r="L7" i="5"/>
  <c r="L8" i="5"/>
  <c r="L9" i="5"/>
  <c r="L10" i="5"/>
  <c r="L2" i="5"/>
  <c r="K3" i="5"/>
  <c r="K4" i="5"/>
  <c r="K5" i="5"/>
  <c r="K6" i="5"/>
  <c r="K7" i="5"/>
  <c r="K8" i="5"/>
  <c r="K9" i="5"/>
  <c r="K10" i="5"/>
  <c r="K2" i="5"/>
  <c r="L2" i="12"/>
  <c r="L3" i="12"/>
  <c r="L4" i="12"/>
  <c r="L5" i="12"/>
  <c r="L6" i="12"/>
  <c r="L7" i="12"/>
  <c r="L8" i="12"/>
  <c r="L9" i="12"/>
  <c r="L10" i="12"/>
  <c r="K3" i="12"/>
  <c r="K4" i="12"/>
  <c r="K5" i="12"/>
  <c r="K6" i="12"/>
  <c r="K7" i="12"/>
  <c r="K8" i="12"/>
  <c r="K9" i="12"/>
  <c r="K10" i="12"/>
  <c r="K2" i="12"/>
  <c r="J3" i="12"/>
  <c r="J4" i="12"/>
  <c r="J5" i="12"/>
  <c r="J6" i="12"/>
  <c r="J7" i="12"/>
  <c r="J8" i="12"/>
  <c r="J9" i="12"/>
  <c r="J10" i="12"/>
  <c r="J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11" i="7"/>
  <c r="L2" i="7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J2" i="3"/>
  <c r="L2" i="3" s="1"/>
  <c r="M2" i="3" s="1"/>
  <c r="M3" i="3"/>
  <c r="M4" i="3"/>
  <c r="M5" i="3"/>
  <c r="M6" i="3"/>
  <c r="M7" i="3"/>
  <c r="M8" i="3"/>
  <c r="M9" i="3"/>
  <c r="M10" i="3"/>
  <c r="L10" i="3"/>
  <c r="L9" i="3"/>
  <c r="L8" i="3"/>
  <c r="L7" i="3"/>
  <c r="L6" i="3"/>
  <c r="L5" i="3"/>
  <c r="L4" i="3"/>
  <c r="L3" i="3"/>
  <c r="J3" i="3"/>
  <c r="J4" i="3"/>
  <c r="J5" i="3"/>
  <c r="J6" i="3"/>
  <c r="J7" i="3"/>
  <c r="J8" i="3"/>
  <c r="J9" i="3"/>
  <c r="J10" i="3"/>
  <c r="M3" i="4"/>
  <c r="M4" i="4"/>
  <c r="M5" i="4"/>
  <c r="M6" i="4"/>
  <c r="M7" i="4"/>
  <c r="M8" i="4"/>
  <c r="M9" i="4"/>
  <c r="M10" i="4"/>
  <c r="M2" i="4"/>
  <c r="L4" i="4"/>
  <c r="L3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3" i="8"/>
  <c r="K4" i="8"/>
  <c r="K5" i="8"/>
  <c r="K6" i="8"/>
  <c r="K7" i="8"/>
  <c r="K8" i="8"/>
  <c r="K9" i="8"/>
  <c r="K10" i="8"/>
  <c r="K2" i="8"/>
  <c r="J10" i="8"/>
  <c r="J9" i="8"/>
  <c r="J8" i="8"/>
  <c r="J7" i="8"/>
  <c r="J6" i="8"/>
  <c r="J5" i="8"/>
  <c r="J4" i="8"/>
  <c r="J3" i="8"/>
  <c r="J2" i="8"/>
  <c r="K3" i="9"/>
  <c r="J3" i="9"/>
  <c r="K2" i="9"/>
  <c r="J2" i="9"/>
  <c r="H11" i="1"/>
  <c r="H12" i="1"/>
</calcChain>
</file>

<file path=xl/sharedStrings.xml><?xml version="1.0" encoding="utf-8"?>
<sst xmlns="http://schemas.openxmlformats.org/spreadsheetml/2006/main" count="566" uniqueCount="89">
  <si>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</si>
  <si>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</si>
  <si>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</si>
  <si>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</si>
  <si>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</si>
  <si>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</si>
  <si>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</si>
  <si>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</si>
  <si>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</si>
  <si>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</si>
  <si>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</si>
  <si>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</si>
  <si>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</si>
  <si>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</si>
  <si>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</si>
  <si>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</si>
  <si>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</si>
  <si>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</si>
  <si>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</si>
  <si>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</si>
  <si>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</si>
  <si>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</si>
  <si>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</si>
  <si>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</si>
  <si>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</si>
  <si>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</si>
  <si>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</si>
  <si>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</si>
  <si>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</si>
  <si>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</si>
  <si>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</si>
  <si>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</si>
  <si>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</si>
  <si>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</si>
  <si>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</si>
  <si>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</si>
  <si>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</si>
  <si>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</si>
  <si>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</si>
  <si>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</si>
  <si>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</si>
  <si>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</si>
  <si>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</si>
  <si>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</si>
  <si>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</si>
  <si>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</si>
  <si>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</si>
  <si>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</si>
  <si>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</si>
  <si>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</si>
  <si>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</si>
  <si>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</si>
  <si>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</si>
  <si>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</si>
  <si>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</si>
  <si>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</si>
  <si>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</si>
  <si>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</si>
  <si>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</si>
  <si>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</si>
  <si>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</si>
  <si>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</si>
  <si>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</si>
  <si>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</si>
  <si>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</si>
  <si>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</si>
  <si>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</si>
  <si>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</si>
  <si>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</si>
  <si>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</si>
  <si>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</si>
  <si>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</si>
  <si>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</si>
  <si>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</si>
  <si>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</si>
  <si>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</si>
  <si>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</si>
  <si>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</si>
  <si>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</si>
  <si>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</si>
  <si>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</si>
  <si>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</si>
  <si>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</si>
  <si>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</si>
  <si>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</si>
  <si>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</si>
  <si>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</si>
  <si>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 xml:space="preserve"> </t>
  </si>
  <si>
    <t>TEXT(H2,"dd-mm-yyyy")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</si>
</sst>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F17" sqref="F17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79</v>
      </c>
      <c r="K1" t="s">
        <v>80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21"/>
  <sheetViews>
    <sheetView workbookViewId="0">
      <selection activeCell="I21" sqref="I21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11" max="11" width="18.886718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81</v>
      </c>
      <c r="K1" t="s">
        <v>82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IF(D2:D10&gt;30, "Old", "Young")</f>
        <v>Young</v>
      </c>
      <c r="K2" t="str">
        <f>_xlfn.IFS(F2:F10 = "Salesman", "Sales",F2:F10 = "HR","Fire Immediately",F2:F10 = "Manager","Give Christmas Bonus")</f>
        <v>Sales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>IF(D2:D10&gt;30,"Old","Young")</f>
        <v>Young</v>
      </c>
      <c r="K3" t="e">
        <f t="shared" ref="K3:K10" si="0">_xlfn.IFS(F3:F11 = "Salesman", "Sales",F3:F11 = "HR","Fire Immediately",F3:F11 = "Manager","Give Christmas Bonus")</f>
        <v>#N/A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>IF(D2:D10&gt;30,"Old","Young")</f>
        <v>Young</v>
      </c>
      <c r="K4" t="str">
        <f t="shared" si="0"/>
        <v>Sales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>IF(D2:D10&gt;30,"Old","Young")</f>
        <v>Old</v>
      </c>
      <c r="K5" t="e">
        <f t="shared" si="0"/>
        <v>#N/A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>IF(D2:D10&gt;30,"Old","Young")</f>
        <v>Old</v>
      </c>
      <c r="K6" t="str">
        <f t="shared" si="0"/>
        <v>Fire Immediately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>IF(D2:D10&gt;30,"Old","Young")</f>
        <v>Old</v>
      </c>
      <c r="K7" t="e">
        <f t="shared" si="0"/>
        <v>#N/A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>IF(D2:D10&gt;30,"Old","Young")</f>
        <v>Old</v>
      </c>
      <c r="K8" t="e">
        <f t="shared" si="0"/>
        <v>#N/A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>IF(D2:D10&gt;30,"Old","Young")</f>
        <v>Old</v>
      </c>
      <c r="K9" t="str">
        <f t="shared" si="0"/>
        <v>Sales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>IF(D2:D10&gt;30,"Old","Young")</f>
        <v>Old</v>
      </c>
      <c r="K10" t="e">
        <f t="shared" si="0"/>
        <v>#N/A</v>
      </c>
    </row>
    <row r="21" spans="9:9" x14ac:dyDescent="0.3">
      <c r="I21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K2" sqref="K2"/>
    </sheetView>
  </sheetViews>
  <sheetFormatPr defaultColWidth="10.88671875" defaultRowHeight="14.4" x14ac:dyDescent="0.3"/>
  <cols>
    <col min="1" max="1" width="10.77734375" bestFit="1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B1" workbookViewId="0">
      <selection activeCell="L3" sqref="L3"/>
    </sheetView>
  </sheetViews>
  <sheetFormatPr defaultColWidth="14.5546875" defaultRowHeight="14.4" x14ac:dyDescent="0.3"/>
  <cols>
    <col min="4" max="4" width="8" customWidth="1"/>
    <col min="10" max="10" width="40.6640625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85</v>
      </c>
      <c r="L1" t="s">
        <v>86</v>
      </c>
      <c r="M1" t="s">
        <v>86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>
        <f>LEFT(B2:B10, 3)</f>
        <v>Jim</v>
      </c>
      <c r="L2" t="str">
        <f>RIGHT(A2:A10,1)</f>
        <v>1</v>
      </c>
      <c r="M2" t="str">
        <f>RIGHT(H2:H10,4)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f t="shared" ref="K3:K10" si="0">LEFT(B3:B11, 3)</f>
        <v>Pam</v>
      </c>
      <c r="L3" t="str">
        <f t="shared" ref="L3:L10" si="1">RIGHT(A3:A11,1)</f>
        <v>2</v>
      </c>
      <c r="M3" t="str">
        <f t="shared" ref="M3:M10" si="2">RIGHT(H3:H11,4)</f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f t="shared" si="0"/>
        <v>Dwi</v>
      </c>
      <c r="L4" t="str">
        <f>RIGHT(A4:A12,1)</f>
        <v>3</v>
      </c>
      <c r="M4" t="str">
        <f t="shared" si="2"/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0"/>
  <sheetViews>
    <sheetView workbookViewId="0">
      <selection activeCell="J15" sqref="J15"/>
    </sheetView>
  </sheetViews>
  <sheetFormatPr defaultColWidth="13.6640625" defaultRowHeight="14.4" x14ac:dyDescent="0.3"/>
  <cols>
    <col min="1" max="1" width="10.77734375" bestFit="1" customWidth="1"/>
    <col min="4" max="4" width="7.6640625" customWidth="1"/>
    <col min="8" max="8" width="16.5546875" style="1" bestFit="1" customWidth="1"/>
  </cols>
  <sheetData>
    <row r="1" spans="1:13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s="1" t="s">
        <v>36</v>
      </c>
      <c r="I1" t="s">
        <v>37</v>
      </c>
      <c r="J1" t="s">
        <v>88</v>
      </c>
    </row>
    <row r="2" spans="1:13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TEXT(H2:H10,"dd-mm-yyyy")</f>
        <v>02-11-2001</v>
      </c>
      <c r="K2" s="2"/>
      <c r="L2" t="str">
        <f>TEXT(J2:J10,"dd-mm-yyyy")</f>
        <v>02-11-2001</v>
      </c>
      <c r="M2" t="str">
        <f>RIGHT(L2:L10,4)</f>
        <v>2001</v>
      </c>
    </row>
    <row r="3" spans="1:13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L10" si="0">TEXT(H3:H11,"dd-mm-yyyy")</f>
        <v>03-10-1999</v>
      </c>
      <c r="K3" s="2"/>
      <c r="L3" t="str">
        <f t="shared" si="0"/>
        <v>03-10-1999</v>
      </c>
      <c r="M3" t="str">
        <f t="shared" ref="M3:M10" si="1">RIGHT(L3:L11,4)</f>
        <v>1999</v>
      </c>
    </row>
    <row r="4" spans="1:13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04-07-2000</v>
      </c>
      <c r="K4" s="2"/>
      <c r="L4" t="str">
        <f t="shared" si="0"/>
        <v>04-07-2000</v>
      </c>
      <c r="M4" t="str">
        <f t="shared" si="1"/>
        <v>2000</v>
      </c>
    </row>
    <row r="5" spans="1:13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05-01-2000</v>
      </c>
      <c r="K5" s="2"/>
      <c r="L5" t="str">
        <f t="shared" si="0"/>
        <v>05-01-2000</v>
      </c>
      <c r="M5" t="str">
        <f t="shared" si="1"/>
        <v>2000</v>
      </c>
    </row>
    <row r="6" spans="1:13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06-05-2001</v>
      </c>
      <c r="K6" s="2"/>
      <c r="L6" t="str">
        <f t="shared" si="0"/>
        <v>06-05-2001</v>
      </c>
      <c r="M6" t="str">
        <f t="shared" si="1"/>
        <v>2001</v>
      </c>
    </row>
    <row r="7" spans="1:13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07-12-1995</v>
      </c>
      <c r="K7" s="2"/>
      <c r="L7" t="str">
        <f t="shared" si="0"/>
        <v>07-12-1995</v>
      </c>
      <c r="M7" t="str">
        <f t="shared" si="1"/>
        <v>1995</v>
      </c>
    </row>
    <row r="8" spans="1:13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08-11-2003</v>
      </c>
      <c r="K8" s="2"/>
      <c r="L8" t="str">
        <f t="shared" si="0"/>
        <v>08-11-2003</v>
      </c>
      <c r="M8" t="str">
        <f t="shared" si="1"/>
        <v>2003</v>
      </c>
    </row>
    <row r="9" spans="1:13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09-06-2002</v>
      </c>
      <c r="K9" s="2"/>
      <c r="L9" t="str">
        <f t="shared" si="0"/>
        <v>09-06-2002</v>
      </c>
      <c r="M9" t="str">
        <f t="shared" si="1"/>
        <v>2002</v>
      </c>
    </row>
    <row r="10" spans="1:13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10-08-2003</v>
      </c>
      <c r="K10" s="2"/>
      <c r="L10" t="str">
        <f t="shared" si="0"/>
        <v>10-08-2003</v>
      </c>
      <c r="M10" t="str">
        <f t="shared" si="1"/>
        <v>2003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I15" sqref="I15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3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3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3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3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3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3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3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3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3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H1" workbookViewId="0">
      <selection activeCell="K2" sqref="K2:K10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  <c r="K1" t="s">
        <v>71</v>
      </c>
      <c r="L1" t="s">
        <v>72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SUBSTITUTE(H2:H10,"/","-")</f>
        <v>11-2-2001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f t="shared" ref="J3:J10" si="0">SUBSTITUTE(H3:H11,"/","-",1)</f>
        <v>10-3/1999</v>
      </c>
      <c r="K3" t="str">
        <f t="shared" ref="K3:K10" si="1">SUBSTITUTE(H3:H11,"/","-",2)</f>
        <v>10/3-1999</v>
      </c>
      <c r="L3" t="str">
        <f t="shared" ref="L3:L11" si="2">SUBSTITUTE(H3:H11,"/","-")</f>
        <v>10-3-1999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7-4-2000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1-5-2000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f t="shared" si="0"/>
        <v>5-6/2001</v>
      </c>
      <c r="K6" t="str">
        <f t="shared" si="1"/>
        <v>5/6-2001</v>
      </c>
      <c r="L6" t="str">
        <f t="shared" si="2"/>
        <v>5-6-2001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5-6-2001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f t="shared" si="0"/>
        <v>11-8/2003</v>
      </c>
      <c r="K8" t="str">
        <f t="shared" si="1"/>
        <v>11/8-2003</v>
      </c>
      <c r="L8" t="str">
        <f t="shared" si="2"/>
        <v>11-8-2003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6-9-2002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8-10-2003</v>
      </c>
    </row>
    <row r="11" spans="1:12" x14ac:dyDescent="0.3">
      <c r="L11" t="str">
        <f t="shared" si="2"/>
        <v/>
      </c>
    </row>
    <row r="12" spans="1:12" x14ac:dyDescent="0.3">
      <c r="H12" s="2"/>
      <c r="I12" s="2"/>
    </row>
    <row r="13" spans="1:12" x14ac:dyDescent="0.3">
      <c r="H13" s="2"/>
      <c r="I13" s="2"/>
    </row>
    <row r="14" spans="1:12" x14ac:dyDescent="0.3">
      <c r="H14" s="2"/>
      <c r="I14" s="2"/>
    </row>
    <row r="15" spans="1:12" x14ac:dyDescent="0.3">
      <c r="H15" s="2"/>
      <c r="I15" s="2"/>
    </row>
    <row r="16" spans="1:12" x14ac:dyDescent="0.3">
      <c r="H16" s="2"/>
      <c r="I16" s="2"/>
    </row>
    <row r="17" spans="8:9" x14ac:dyDescent="0.3">
      <c r="H17" s="2"/>
      <c r="I17" s="2"/>
    </row>
    <row r="18" spans="8:9" x14ac:dyDescent="0.3">
      <c r="H18" s="2"/>
      <c r="I18" s="2"/>
    </row>
    <row r="19" spans="8:9" x14ac:dyDescent="0.3">
      <c r="H19" s="2"/>
      <c r="I19" s="2"/>
    </row>
    <row r="20" spans="8:9" x14ac:dyDescent="0.3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F1" workbookViewId="0">
      <selection activeCell="L15" sqref="L15"/>
    </sheetView>
  </sheetViews>
  <sheetFormatPr defaultColWidth="13" defaultRowHeight="14.4" x14ac:dyDescent="0.3"/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73</v>
      </c>
      <c r="K1" t="s">
        <v>74</v>
      </c>
      <c r="L1" t="s">
        <v>75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SUM(G3:G11)</f>
        <v>392000</v>
      </c>
      <c r="K3">
        <f t="shared" ref="K3:K10" si="1">SUMIF(G3:G11,"&gt;50000")</f>
        <v>128000</v>
      </c>
      <c r="L3">
        <f t="shared" ref="L3:L11" si="2">SUMIFS(G3:G11,E3:E11,"Female",D3:D11,"&gt;30")</f>
        <v>88000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356000</v>
      </c>
      <c r="K4">
        <f t="shared" si="1"/>
        <v>128000</v>
      </c>
      <c r="L4">
        <f t="shared" si="2"/>
        <v>88000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293000</v>
      </c>
      <c r="K5">
        <f t="shared" si="1"/>
        <v>65000</v>
      </c>
      <c r="L5">
        <f t="shared" si="2"/>
        <v>88000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246000</v>
      </c>
      <c r="K6">
        <f t="shared" si="1"/>
        <v>65000</v>
      </c>
      <c r="L6">
        <f t="shared" si="2"/>
        <v>41000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196000</v>
      </c>
      <c r="K7">
        <f t="shared" si="1"/>
        <v>65000</v>
      </c>
      <c r="L7">
        <f t="shared" si="2"/>
        <v>41000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131000</v>
      </c>
      <c r="K8">
        <f t="shared" si="1"/>
        <v>0</v>
      </c>
      <c r="L8">
        <f t="shared" si="2"/>
        <v>41000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90000</v>
      </c>
      <c r="K9">
        <f t="shared" si="1"/>
        <v>0</v>
      </c>
      <c r="L9">
        <f t="shared" si="2"/>
        <v>0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42000</v>
      </c>
      <c r="K10">
        <f t="shared" si="1"/>
        <v>0</v>
      </c>
      <c r="L10">
        <f t="shared" si="2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G1" workbookViewId="0">
      <selection activeCell="J8" sqref="J8"/>
    </sheetView>
  </sheetViews>
  <sheetFormatPr defaultColWidth="13.6640625" defaultRowHeight="14.4" x14ac:dyDescent="0.3"/>
  <cols>
    <col min="1" max="1" width="10.77734375" bestFit="1" customWidth="1"/>
    <col min="4" max="4" width="7.6640625" customWidth="1"/>
  </cols>
  <sheetData>
    <row r="1" spans="1:12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76</v>
      </c>
      <c r="K1" t="s">
        <v>77</v>
      </c>
      <c r="L1" t="s">
        <v>78</v>
      </c>
    </row>
    <row r="2" spans="1:12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COUNT(G3:G11)</f>
        <v>8</v>
      </c>
      <c r="K3">
        <f t="shared" ref="K3:K10" si="1">COUNTIF(G3:G11,"&gt;45000")</f>
        <v>5</v>
      </c>
      <c r="L3">
        <f t="shared" ref="L3:L10" si="2">COUNTIFS(A3:A11,"&gt;1005",E3:E11,"MALE")</f>
        <v>3</v>
      </c>
    </row>
    <row r="4" spans="1:12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  <c r="K4">
        <f t="shared" si="1"/>
        <v>5</v>
      </c>
      <c r="L4">
        <f t="shared" si="2"/>
        <v>3</v>
      </c>
    </row>
    <row r="5" spans="1:12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  <c r="K5">
        <f t="shared" si="1"/>
        <v>4</v>
      </c>
      <c r="L5">
        <f t="shared" si="2"/>
        <v>3</v>
      </c>
    </row>
    <row r="6" spans="1:12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5</v>
      </c>
      <c r="K6">
        <f t="shared" si="1"/>
        <v>3</v>
      </c>
      <c r="L6">
        <f t="shared" si="2"/>
        <v>3</v>
      </c>
    </row>
    <row r="7" spans="1:12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4</v>
      </c>
      <c r="K7">
        <f t="shared" si="1"/>
        <v>2</v>
      </c>
      <c r="L7">
        <f t="shared" si="2"/>
        <v>3</v>
      </c>
    </row>
    <row r="8" spans="1:12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3</v>
      </c>
      <c r="K8">
        <f t="shared" si="1"/>
        <v>1</v>
      </c>
      <c r="L8">
        <f t="shared" si="2"/>
        <v>2</v>
      </c>
    </row>
    <row r="9" spans="1:12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2</v>
      </c>
      <c r="K9">
        <f t="shared" si="1"/>
        <v>1</v>
      </c>
      <c r="L9">
        <f t="shared" si="2"/>
        <v>2</v>
      </c>
    </row>
    <row r="10" spans="1:12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1</v>
      </c>
      <c r="K10">
        <f t="shared" si="1"/>
        <v>0</v>
      </c>
      <c r="L10">
        <f t="shared" si="2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13" sqref="K13"/>
    </sheetView>
  </sheetViews>
  <sheetFormatPr defaultRowHeight="14.4" x14ac:dyDescent="0.3"/>
  <cols>
    <col min="2" max="2" width="10.44140625" customWidth="1"/>
    <col min="3" max="5" width="10.6640625" customWidth="1"/>
    <col min="6" max="6" width="16.5546875" customWidth="1"/>
    <col min="8" max="8" width="14.21875" customWidth="1"/>
    <col min="9" max="9" width="14.77734375" customWidth="1"/>
    <col min="10" max="10" width="22" bestFit="1" customWidth="1"/>
    <col min="11" max="11" width="26.10937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  <c r="K2" t="str">
        <f>CONCATENATE(B2,".",C2,"@gmail.com")</f>
        <v>Jim.Halpert@gmail.com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CONCATENATE(B3,".",C3,"@gmail.com")</f>
        <v>Pam.Beasley@gmail.com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Dwight.Schrute@gmail.com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Angela.Martin@gmail.com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Toby.Flenderson@gmail.com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Michael.Scott@gmail.com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Meredith.Palmer@gmail.com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Stanley.Hudson@gmail.com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Kevin.Malone@gmail.com</v>
      </c>
    </row>
    <row r="11" spans="1:11" x14ac:dyDescent="0.3">
      <c r="H11" t="str">
        <f t="shared" ref="H11:H12" si="2">CONCATENATE(B11," ",C11)</f>
        <v xml:space="preserve"> </v>
      </c>
    </row>
    <row r="12" spans="1:11" x14ac:dyDescent="0.3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I15" sqref="I15"/>
    </sheetView>
  </sheetViews>
  <sheetFormatPr defaultRowHeight="14.4" x14ac:dyDescent="0.3"/>
  <cols>
    <col min="8" max="8" width="14.44140625" customWidth="1"/>
    <col min="9" max="9" width="13.33203125" customWidth="1"/>
  </cols>
  <sheetData>
    <row r="1" spans="1:11" x14ac:dyDescent="0.3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83</v>
      </c>
      <c r="K1" t="s">
        <v>84</v>
      </c>
    </row>
    <row r="2" spans="1:11" x14ac:dyDescent="0.3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_xlfn.DAYS(I2,H2)</f>
        <v>5056</v>
      </c>
      <c r="K2">
        <f>NETWORKDAYS(H2,I2)</f>
        <v>3611</v>
      </c>
    </row>
    <row r="3" spans="1:11" x14ac:dyDescent="0.3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3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6275</v>
      </c>
      <c r="K4">
        <f t="shared" si="1"/>
        <v>4484</v>
      </c>
    </row>
    <row r="5" spans="1:11" x14ac:dyDescent="0.3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5811</v>
      </c>
      <c r="K5">
        <f t="shared" si="1"/>
        <v>4152</v>
      </c>
    </row>
    <row r="6" spans="1:11" x14ac:dyDescent="0.3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5960</v>
      </c>
      <c r="K6">
        <f t="shared" si="1"/>
        <v>4258</v>
      </c>
    </row>
    <row r="7" spans="1:11" x14ac:dyDescent="0.3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37017</v>
      </c>
      <c r="I7" s="1">
        <v>41528</v>
      </c>
      <c r="J7">
        <f t="shared" si="0"/>
        <v>4511</v>
      </c>
      <c r="K7">
        <f t="shared" si="1"/>
        <v>3223</v>
      </c>
    </row>
    <row r="8" spans="1:11" x14ac:dyDescent="0.3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41528</v>
      </c>
      <c r="J8">
        <f t="shared" si="0"/>
        <v>3595</v>
      </c>
      <c r="K8">
        <f t="shared" si="1"/>
        <v>2568</v>
      </c>
    </row>
    <row r="9" spans="1:11" x14ac:dyDescent="0.3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4700</v>
      </c>
      <c r="K9">
        <f t="shared" si="1"/>
        <v>3358</v>
      </c>
    </row>
    <row r="10" spans="1:11" x14ac:dyDescent="0.3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42116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Nagavardhan Kasu</cp:lastModifiedBy>
  <dcterms:created xsi:type="dcterms:W3CDTF">2021-12-16T14:18:34Z</dcterms:created>
  <dcterms:modified xsi:type="dcterms:W3CDTF">2025-09-23T18:23:29Z</dcterms:modified>
</cp:coreProperties>
</file>